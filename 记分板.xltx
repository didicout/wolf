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dicout/Documents/work/github/wolf/"/>
    </mc:Choice>
  </mc:AlternateContent>
  <bookViews>
    <workbookView xWindow="0" yWindow="460" windowWidth="25600" windowHeight="15460"/>
  </bookViews>
  <sheets>
    <sheet name="new" sheetId="9" r:id="rId1"/>
    <sheet name="万圣节专场" sheetId="4" state="hidden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" i="9" l="1"/>
  <c r="P5" i="9"/>
  <c r="P6" i="9"/>
  <c r="P7" i="9"/>
  <c r="P8" i="9"/>
  <c r="P9" i="9"/>
  <c r="P10" i="9"/>
  <c r="P11" i="9"/>
  <c r="P12" i="9"/>
  <c r="P13" i="9"/>
  <c r="P14" i="9"/>
  <c r="P3" i="9"/>
  <c r="L4" i="9"/>
  <c r="L5" i="9"/>
  <c r="L6" i="9"/>
  <c r="L7" i="9"/>
  <c r="L8" i="9"/>
  <c r="L9" i="9"/>
  <c r="L10" i="9"/>
  <c r="L11" i="9"/>
  <c r="L12" i="9"/>
  <c r="L13" i="9"/>
  <c r="L14" i="9"/>
  <c r="L3" i="9"/>
  <c r="H3" i="9"/>
  <c r="H4" i="9"/>
  <c r="H5" i="9"/>
  <c r="H6" i="9"/>
  <c r="H7" i="9"/>
  <c r="H8" i="9"/>
  <c r="H9" i="9"/>
  <c r="H10" i="9"/>
  <c r="H11" i="9"/>
  <c r="H12" i="9"/>
  <c r="H13" i="9"/>
  <c r="H14" i="9"/>
  <c r="C4" i="9"/>
  <c r="C5" i="9"/>
  <c r="C6" i="9"/>
  <c r="C7" i="9"/>
  <c r="C8" i="9"/>
  <c r="C9" i="9"/>
  <c r="C10" i="9"/>
  <c r="C11" i="9"/>
  <c r="C12" i="9"/>
  <c r="C13" i="9"/>
  <c r="C14" i="9"/>
  <c r="C3" i="9"/>
</calcChain>
</file>

<file path=xl/sharedStrings.xml><?xml version="1.0" encoding="utf-8"?>
<sst xmlns="http://schemas.openxmlformats.org/spreadsheetml/2006/main" count="98" uniqueCount="78">
  <si>
    <t>玩家ID</t>
    <phoneticPr fontId="1" type="noConversion"/>
  </si>
  <si>
    <t>序号</t>
    <phoneticPr fontId="1" type="noConversion"/>
  </si>
  <si>
    <t>起始积分</t>
    <phoneticPr fontId="1" type="noConversion"/>
  </si>
  <si>
    <t>一局押注</t>
    <phoneticPr fontId="1" type="noConversion"/>
  </si>
  <si>
    <t>一局身份</t>
    <phoneticPr fontId="1" type="noConversion"/>
  </si>
  <si>
    <t>二局押注</t>
    <phoneticPr fontId="1" type="noConversion"/>
  </si>
  <si>
    <t>二局身份</t>
    <phoneticPr fontId="1" type="noConversion"/>
  </si>
  <si>
    <t>三局押注</t>
    <phoneticPr fontId="1" type="noConversion"/>
  </si>
  <si>
    <t>三局身份</t>
    <phoneticPr fontId="1" type="noConversion"/>
  </si>
  <si>
    <t>最终成绩</t>
    <phoneticPr fontId="1" type="noConversion"/>
  </si>
  <si>
    <t>预言家</t>
    <phoneticPr fontId="1" type="noConversion"/>
  </si>
  <si>
    <t>猎人</t>
    <phoneticPr fontId="1" type="noConversion"/>
  </si>
  <si>
    <t>女巫</t>
    <phoneticPr fontId="1" type="noConversion"/>
  </si>
  <si>
    <t>绿色被放逐或自爆</t>
    <phoneticPr fontId="1" type="noConversion"/>
  </si>
  <si>
    <t>红色被狼刀死或狼技能带死</t>
    <phoneticPr fontId="1" type="noConversion"/>
  </si>
  <si>
    <t>紫色被女巫毒死</t>
    <phoneticPr fontId="1" type="noConversion"/>
  </si>
  <si>
    <t>被猎人开抢击毙</t>
    <phoneticPr fontId="1" type="noConversion"/>
  </si>
  <si>
    <t>狼人</t>
    <phoneticPr fontId="1" type="noConversion"/>
  </si>
  <si>
    <t>填写胜利方</t>
    <phoneticPr fontId="1" type="noConversion"/>
  </si>
  <si>
    <t>百度狼人杀10月31日万圣节专场</t>
    <phoneticPr fontId="1" type="noConversion"/>
  </si>
  <si>
    <t>备注</t>
    <phoneticPr fontId="1" type="noConversion"/>
  </si>
  <si>
    <t>首夜睁眼顺序</t>
    <phoneticPr fontId="1" type="noConversion"/>
  </si>
  <si>
    <t>狼人（包含野狼、白狼、种狼）</t>
    <phoneticPr fontId="1" type="noConversion"/>
  </si>
  <si>
    <t>白狼</t>
    <phoneticPr fontId="1" type="noConversion"/>
  </si>
  <si>
    <t>大野狼</t>
    <phoneticPr fontId="1" type="noConversion"/>
  </si>
  <si>
    <t>种狼</t>
    <phoneticPr fontId="1" type="noConversion"/>
  </si>
  <si>
    <t>吉普赛人（是否召唤新月事件）</t>
    <phoneticPr fontId="1" type="noConversion"/>
  </si>
  <si>
    <t>普夜</t>
    <phoneticPr fontId="1" type="noConversion"/>
  </si>
  <si>
    <t>大野狼（狼人被杀一人不可发动技能）</t>
    <phoneticPr fontId="1" type="noConversion"/>
  </si>
  <si>
    <t>种狼</t>
    <phoneticPr fontId="1" type="noConversion"/>
  </si>
  <si>
    <t>白狼（双数夜发动技能）</t>
    <phoneticPr fontId="1" type="noConversion"/>
  </si>
  <si>
    <t>预言家</t>
    <phoneticPr fontId="1" type="noConversion"/>
  </si>
  <si>
    <t>吉普赛人</t>
    <phoneticPr fontId="1" type="noConversion"/>
  </si>
  <si>
    <t>狐狸</t>
    <phoneticPr fontId="1" type="noConversion"/>
  </si>
  <si>
    <t>三兄弟</t>
    <phoneticPr fontId="1" type="noConversion"/>
  </si>
  <si>
    <t>公爵（锈剑骑士）</t>
    <phoneticPr fontId="1" type="noConversion"/>
  </si>
  <si>
    <t>南瓜怪（变脸者）第二夜后可选择是否发动技能</t>
    <phoneticPr fontId="1" type="noConversion"/>
  </si>
  <si>
    <t>口吃法官（确认暗号）</t>
    <phoneticPr fontId="1" type="noConversion"/>
  </si>
  <si>
    <t>猎人</t>
    <phoneticPr fontId="1" type="noConversion"/>
  </si>
  <si>
    <t>预言家</t>
    <phoneticPr fontId="1" type="noConversion"/>
  </si>
  <si>
    <t>公爵</t>
    <phoneticPr fontId="1" type="noConversion"/>
  </si>
  <si>
    <t>南瓜怪（变脸者）走一圈点人</t>
    <phoneticPr fontId="1" type="noConversion"/>
  </si>
  <si>
    <t>狼人</t>
    <phoneticPr fontId="1" type="noConversion"/>
  </si>
  <si>
    <t>吉普赛人</t>
    <phoneticPr fontId="1" type="noConversion"/>
  </si>
  <si>
    <t>大野狼</t>
    <phoneticPr fontId="1" type="noConversion"/>
  </si>
  <si>
    <t>种狼</t>
    <phoneticPr fontId="1" type="noConversion"/>
  </si>
  <si>
    <t>女巫</t>
    <phoneticPr fontId="1" type="noConversion"/>
  </si>
  <si>
    <t>口吃法官</t>
    <phoneticPr fontId="1" type="noConversion"/>
  </si>
  <si>
    <t>与5换身份，暗号是v手势</t>
    <phoneticPr fontId="1" type="noConversion"/>
  </si>
  <si>
    <t>狐狸</t>
    <phoneticPr fontId="1" type="noConversion"/>
  </si>
  <si>
    <t>平民</t>
    <phoneticPr fontId="1" type="noConversion"/>
  </si>
  <si>
    <t>没用药</t>
    <phoneticPr fontId="1" type="noConversion"/>
  </si>
  <si>
    <t>白狼</t>
    <phoneticPr fontId="1" type="noConversion"/>
  </si>
  <si>
    <t>南瓜怪</t>
    <phoneticPr fontId="1" type="noConversion"/>
  </si>
  <si>
    <t>高级平民</t>
    <phoneticPr fontId="1" type="noConversion"/>
  </si>
  <si>
    <t>被感染  狼</t>
    <phoneticPr fontId="1" type="noConversion"/>
  </si>
  <si>
    <t>X组X场x月x日</t>
    <phoneticPr fontId="1" type="noConversion"/>
  </si>
  <si>
    <t>一局结果</t>
    <rPh sb="2" eb="3">
      <t>jie'guo</t>
    </rPh>
    <phoneticPr fontId="1" type="noConversion"/>
  </si>
  <si>
    <t>二局结果</t>
    <rPh sb="2" eb="3">
      <t>jie'guo</t>
    </rPh>
    <phoneticPr fontId="1" type="noConversion"/>
  </si>
  <si>
    <t>狼人</t>
    <rPh sb="0" eb="1">
      <t>lang'ren</t>
    </rPh>
    <phoneticPr fontId="1" type="noConversion"/>
  </si>
  <si>
    <t>好人身份</t>
    <rPh sb="0" eb="1">
      <t>hao'ren</t>
    </rPh>
    <rPh sb="2" eb="3">
      <t>shen'fen</t>
    </rPh>
    <phoneticPr fontId="1" type="noConversion"/>
  </si>
  <si>
    <t>平民</t>
    <rPh sb="0" eb="2">
      <t>ping'ming</t>
    </rPh>
    <phoneticPr fontId="1" type="noConversion"/>
  </si>
  <si>
    <t>一局得分</t>
    <rPh sb="0" eb="1">
      <t>yi'ju</t>
    </rPh>
    <rPh sb="2" eb="3">
      <t>de'fen</t>
    </rPh>
    <phoneticPr fontId="1" type="noConversion"/>
  </si>
  <si>
    <t>预言家</t>
  </si>
  <si>
    <t>女巫</t>
  </si>
  <si>
    <t>禁言长老</t>
  </si>
  <si>
    <t>禁言长老</t>
    <phoneticPr fontId="1" type="noConversion"/>
  </si>
  <si>
    <t>守卫</t>
    <phoneticPr fontId="1" type="noConversion"/>
  </si>
  <si>
    <t>狼人身份</t>
    <rPh sb="0" eb="1">
      <t>lang'ren</t>
    </rPh>
    <rPh sb="2" eb="3">
      <t>shen'fen</t>
    </rPh>
    <phoneticPr fontId="1" type="noConversion"/>
  </si>
  <si>
    <t>白狼王</t>
    <rPh sb="0" eb="1">
      <t>bai'lang'w</t>
    </rPh>
    <phoneticPr fontId="1" type="noConversion"/>
  </si>
  <si>
    <t>狼美人</t>
    <rPh sb="0" eb="1">
      <t>lang</t>
    </rPh>
    <rPh sb="1" eb="2">
      <t>mei'ren</t>
    </rPh>
    <phoneticPr fontId="1" type="noConversion"/>
  </si>
  <si>
    <t>狼王</t>
    <rPh sb="0" eb="1">
      <t>lang'wang</t>
    </rPh>
    <phoneticPr fontId="1" type="noConversion"/>
  </si>
  <si>
    <t>二局得分</t>
    <rPh sb="0" eb="1">
      <t>er'ju</t>
    </rPh>
    <rPh sb="2" eb="3">
      <t>de'fen</t>
    </rPh>
    <phoneticPr fontId="1" type="noConversion"/>
  </si>
  <si>
    <t>三局结果</t>
    <rPh sb="2" eb="3">
      <t>jie'guo</t>
    </rPh>
    <phoneticPr fontId="1" type="noConversion"/>
  </si>
  <si>
    <t>三局得分</t>
    <rPh sb="0" eb="1">
      <t>san'ju</t>
    </rPh>
    <rPh sb="2" eb="3">
      <t>de'fen</t>
    </rPh>
    <phoneticPr fontId="1" type="noConversion"/>
  </si>
  <si>
    <t>好人胜利</t>
  </si>
  <si>
    <t>狼人胜利</t>
  </si>
  <si>
    <t>下面是角色配置！新增角色需要修改计分公式！</t>
    <rPh sb="0" eb="1">
      <t>xia'm</t>
    </rPh>
    <rPh sb="2" eb="3">
      <t>shi</t>
    </rPh>
    <rPh sb="3" eb="4">
      <t>jue'se</t>
    </rPh>
    <rPh sb="5" eb="6">
      <t>pei'zhi</t>
    </rPh>
    <rPh sb="8" eb="9">
      <t>xin'z</t>
    </rPh>
    <rPh sb="10" eb="11">
      <t>jue'se</t>
    </rPh>
    <rPh sb="12" eb="13">
      <t>xu'yao</t>
    </rPh>
    <rPh sb="14" eb="15">
      <t>xiu'gai</t>
    </rPh>
    <rPh sb="16" eb="17">
      <t>ji'fen</t>
    </rPh>
    <rPh sb="18" eb="19">
      <t>gong'shi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</si>
</sst>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Abadi MT Condensed Extra Bold"/>
    </font>
    <font>
      <sz val="12.1"/>
      <color theme="1"/>
      <name val="Abadi MT Condensed Extra Bold"/>
    </font>
    <font>
      <sz val="11"/>
      <color rgb="FFFF0000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4" fillId="0" borderId="0" xfId="0" applyFont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4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11" borderId="0" xfId="0" applyFont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12" borderId="0" xfId="0" applyFill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7" fillId="12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R22"/>
  <sheetViews>
    <sheetView tabSelected="1" zoomScale="110" zoomScaleNormal="110" zoomScalePageLayoutView="110" workbookViewId="0">
      <selection activeCell="I20" sqref="I20"/>
    </sheetView>
  </sheetViews>
  <sheetFormatPr baseColWidth="10" defaultColWidth="8.83203125" defaultRowHeight="14" x14ac:dyDescent="0.15"/>
  <cols>
    <col min="1" max="1" width="5.1640625" customWidth="1"/>
    <col min="2" max="2" width="13.5" customWidth="1"/>
    <col min="3" max="3" width="9.6640625" bestFit="1" customWidth="1"/>
    <col min="4" max="4" width="9.83203125" customWidth="1"/>
    <col min="5" max="6" width="9.6640625" customWidth="1"/>
    <col min="7" max="7" width="8.83203125" bestFit="1" customWidth="1"/>
    <col min="8" max="8" width="10.6640625" customWidth="1"/>
    <col min="10" max="10" width="8.83203125" bestFit="1" customWidth="1"/>
    <col min="14" max="14" width="8.83203125" bestFit="1" customWidth="1"/>
    <col min="18" max="18" width="12.33203125" customWidth="1"/>
  </cols>
  <sheetData>
    <row r="1" spans="1:18" ht="17" x14ac:dyDescent="0.15">
      <c r="A1" s="4" t="s">
        <v>56</v>
      </c>
      <c r="Q1" s="21" t="s">
        <v>77</v>
      </c>
      <c r="R1" s="21"/>
    </row>
    <row r="2" spans="1:18" ht="17" x14ac:dyDescent="0.15">
      <c r="A2" s="7" t="s">
        <v>1</v>
      </c>
      <c r="B2" s="7" t="s">
        <v>0</v>
      </c>
      <c r="C2" s="6" t="s">
        <v>9</v>
      </c>
      <c r="D2" s="7" t="s">
        <v>2</v>
      </c>
      <c r="E2" s="2" t="s">
        <v>3</v>
      </c>
      <c r="F2" s="2" t="s">
        <v>4</v>
      </c>
      <c r="G2" s="2" t="s">
        <v>57</v>
      </c>
      <c r="H2" s="2" t="s">
        <v>62</v>
      </c>
      <c r="I2" s="5" t="s">
        <v>5</v>
      </c>
      <c r="J2" s="5" t="s">
        <v>6</v>
      </c>
      <c r="K2" s="5" t="s">
        <v>58</v>
      </c>
      <c r="L2" s="5" t="s">
        <v>72</v>
      </c>
      <c r="M2" s="3" t="s">
        <v>7</v>
      </c>
      <c r="N2" s="3" t="s">
        <v>8</v>
      </c>
      <c r="O2" s="3" t="s">
        <v>73</v>
      </c>
      <c r="P2" s="3" t="s">
        <v>74</v>
      </c>
      <c r="Q2" s="21"/>
      <c r="R2" s="21"/>
    </row>
    <row r="3" spans="1:18" ht="17" x14ac:dyDescent="0.15">
      <c r="A3" s="1">
        <v>1</v>
      </c>
      <c r="B3" s="13"/>
      <c r="C3" s="11">
        <f>SUM(D3,H3,L3,P3)</f>
        <v>8</v>
      </c>
      <c r="D3" s="1">
        <v>5</v>
      </c>
      <c r="E3" s="13">
        <v>5</v>
      </c>
      <c r="F3" s="13" t="s">
        <v>63</v>
      </c>
      <c r="G3" s="19" t="s">
        <v>75</v>
      </c>
      <c r="H3" s="13">
        <f>IF(AND(IFERROR(MATCH(F3,$R$3:$R$8,0),0)&gt;0,$G$3="好人胜利"),3+E3,IF(AND(IFERROR(MATCH(F3,$R$9:$R$12,0),0)&gt;0,$G$3="狼人胜利"),4+E3,-E3))</f>
        <v>8</v>
      </c>
      <c r="I3" s="13">
        <v>5</v>
      </c>
      <c r="J3" s="13" t="s">
        <v>65</v>
      </c>
      <c r="K3" s="19" t="s">
        <v>76</v>
      </c>
      <c r="L3" s="13">
        <f>IF(AND(IFERROR(MATCH(J3,$R$3:$R$8,0),0)&gt;0,$K$3="好人胜利"),3+I3,IF(AND(IFERROR(MATCH(J3,$R$9:$R$12,0),0)&gt;0,$K$3="狼人胜利"),4+I3,-I3))</f>
        <v>-5</v>
      </c>
      <c r="M3" s="13"/>
      <c r="N3" s="13"/>
      <c r="O3" s="19"/>
      <c r="P3" s="13">
        <f>IF(AND(IFERROR(MATCH(N3,$R$3:$R$8,0),0)&gt;0,$O$3="好人胜利"),3+M3,IF(AND(IFERROR(MATCH(N3,$R$9:$R$12,0),0)&gt;0,$O$3="狼人胜利"),4+M3,-M3))</f>
        <v>0</v>
      </c>
      <c r="Q3" s="18" t="s">
        <v>60</v>
      </c>
      <c r="R3" s="18" t="s">
        <v>61</v>
      </c>
    </row>
    <row r="4" spans="1:18" ht="17" x14ac:dyDescent="0.15">
      <c r="A4" s="1">
        <v>2</v>
      </c>
      <c r="B4" s="13"/>
      <c r="C4" s="11">
        <f t="shared" ref="C4:C14" si="0">SUM(D4,H4,L4,P4)</f>
        <v>8</v>
      </c>
      <c r="D4" s="1">
        <v>5</v>
      </c>
      <c r="E4" s="13">
        <v>1</v>
      </c>
      <c r="F4" s="13" t="s">
        <v>59</v>
      </c>
      <c r="G4" s="20"/>
      <c r="H4" s="13">
        <f t="shared" ref="H4:H14" si="1">IF(AND(IFERROR(MATCH(F4,$R$3:$R$8,0),0)&gt;0,$G$3="好人胜利"),3+E4,IF(AND(IFERROR(MATCH(F4,$R$9:$R$12,0),0)&gt;0,$G$3="狼人胜利"),4+E4,-E4))</f>
        <v>-1</v>
      </c>
      <c r="I4" s="13"/>
      <c r="J4" s="13" t="s">
        <v>69</v>
      </c>
      <c r="K4" s="20"/>
      <c r="L4" s="13">
        <f t="shared" ref="L4:L14" si="2">IF(AND(IFERROR(MATCH(J4,$R$3:$R$8,0),0)&gt;0,$K$3="好人胜利"),3+I4,IF(AND(IFERROR(MATCH(J4,$R$9:$R$12,0),0)&gt;0,$K$3="狼人胜利"),4+I4,-I4))</f>
        <v>4</v>
      </c>
      <c r="M4" s="13"/>
      <c r="N4" s="13"/>
      <c r="O4" s="20"/>
      <c r="P4" s="13">
        <f t="shared" ref="P4:P14" si="3">IF(AND(IFERROR(MATCH(N4,$R$3:$R$8,0),0)&gt;0,$O$3="好人胜利"),3+M4,IF(AND(IFERROR(MATCH(N4,$R$9:$R$12,0),0)&gt;0,$O$3="狼人胜利"),4+M4,-M4))</f>
        <v>0</v>
      </c>
      <c r="Q4" s="18"/>
      <c r="R4" s="18" t="s">
        <v>10</v>
      </c>
    </row>
    <row r="5" spans="1:18" ht="17" x14ac:dyDescent="0.15">
      <c r="A5" s="1">
        <v>3</v>
      </c>
      <c r="B5" s="13"/>
      <c r="C5" s="11">
        <f t="shared" si="0"/>
        <v>8</v>
      </c>
      <c r="D5" s="1">
        <v>5</v>
      </c>
      <c r="E5" s="13"/>
      <c r="F5" s="13" t="s">
        <v>61</v>
      </c>
      <c r="G5" s="20"/>
      <c r="H5" s="13">
        <f t="shared" si="1"/>
        <v>3</v>
      </c>
      <c r="I5" s="13"/>
      <c r="J5" s="13"/>
      <c r="K5" s="20"/>
      <c r="L5" s="13">
        <f t="shared" si="2"/>
        <v>0</v>
      </c>
      <c r="M5" s="13"/>
      <c r="N5" s="13"/>
      <c r="O5" s="20"/>
      <c r="P5" s="13">
        <f t="shared" si="3"/>
        <v>0</v>
      </c>
      <c r="Q5" s="18"/>
      <c r="R5" s="18" t="s">
        <v>12</v>
      </c>
    </row>
    <row r="6" spans="1:18" ht="17" x14ac:dyDescent="0.15">
      <c r="A6" s="1">
        <v>4</v>
      </c>
      <c r="B6" s="13"/>
      <c r="C6" s="11">
        <f t="shared" si="0"/>
        <v>3</v>
      </c>
      <c r="D6" s="1">
        <v>5</v>
      </c>
      <c r="E6" s="13">
        <v>2</v>
      </c>
      <c r="F6" s="13" t="s">
        <v>70</v>
      </c>
      <c r="G6" s="20"/>
      <c r="H6" s="13">
        <f t="shared" si="1"/>
        <v>-2</v>
      </c>
      <c r="I6" s="13"/>
      <c r="J6" s="13"/>
      <c r="K6" s="20"/>
      <c r="L6" s="13">
        <f t="shared" si="2"/>
        <v>0</v>
      </c>
      <c r="M6" s="13"/>
      <c r="N6" s="13"/>
      <c r="O6" s="20"/>
      <c r="P6" s="13">
        <f t="shared" si="3"/>
        <v>0</v>
      </c>
      <c r="Q6" s="18"/>
      <c r="R6" s="18" t="s">
        <v>66</v>
      </c>
    </row>
    <row r="7" spans="1:18" ht="17" x14ac:dyDescent="0.15">
      <c r="A7" s="1">
        <v>5</v>
      </c>
      <c r="B7" s="13"/>
      <c r="C7" s="11">
        <f t="shared" si="0"/>
        <v>10</v>
      </c>
      <c r="D7" s="1">
        <v>5</v>
      </c>
      <c r="E7" s="13">
        <v>2</v>
      </c>
      <c r="F7" s="13" t="s">
        <v>64</v>
      </c>
      <c r="G7" s="20"/>
      <c r="H7" s="13">
        <f t="shared" si="1"/>
        <v>5</v>
      </c>
      <c r="I7" s="13"/>
      <c r="J7" s="13"/>
      <c r="K7" s="20"/>
      <c r="L7" s="13">
        <f t="shared" si="2"/>
        <v>0</v>
      </c>
      <c r="M7" s="13"/>
      <c r="N7" s="13"/>
      <c r="O7" s="20"/>
      <c r="P7" s="13">
        <f t="shared" si="3"/>
        <v>0</v>
      </c>
      <c r="Q7" s="18"/>
      <c r="R7" s="18" t="s">
        <v>11</v>
      </c>
    </row>
    <row r="8" spans="1:18" ht="17" x14ac:dyDescent="0.15">
      <c r="A8" s="1">
        <v>6</v>
      </c>
      <c r="B8" s="13"/>
      <c r="C8" s="11">
        <f t="shared" si="0"/>
        <v>5</v>
      </c>
      <c r="D8" s="1">
        <v>5</v>
      </c>
      <c r="E8" s="13"/>
      <c r="F8" s="13"/>
      <c r="G8" s="20"/>
      <c r="H8" s="13">
        <f t="shared" si="1"/>
        <v>0</v>
      </c>
      <c r="I8" s="13"/>
      <c r="J8" s="13"/>
      <c r="K8" s="20"/>
      <c r="L8" s="13">
        <f t="shared" si="2"/>
        <v>0</v>
      </c>
      <c r="M8" s="13"/>
      <c r="N8" s="13"/>
      <c r="O8" s="20"/>
      <c r="P8" s="13">
        <f t="shared" si="3"/>
        <v>0</v>
      </c>
      <c r="Q8" s="18"/>
      <c r="R8" s="18" t="s">
        <v>67</v>
      </c>
    </row>
    <row r="9" spans="1:18" ht="17" x14ac:dyDescent="0.15">
      <c r="A9" s="1">
        <v>7</v>
      </c>
      <c r="B9" s="13"/>
      <c r="C9" s="11">
        <f t="shared" si="0"/>
        <v>5</v>
      </c>
      <c r="D9" s="1">
        <v>5</v>
      </c>
      <c r="E9" s="13"/>
      <c r="F9" s="13"/>
      <c r="G9" s="20"/>
      <c r="H9" s="13">
        <f t="shared" si="1"/>
        <v>0</v>
      </c>
      <c r="I9" s="13"/>
      <c r="J9" s="13"/>
      <c r="K9" s="20"/>
      <c r="L9" s="13">
        <f t="shared" si="2"/>
        <v>0</v>
      </c>
      <c r="M9" s="13"/>
      <c r="N9" s="13"/>
      <c r="O9" s="20"/>
      <c r="P9" s="13">
        <f t="shared" si="3"/>
        <v>0</v>
      </c>
      <c r="Q9" s="18" t="s">
        <v>68</v>
      </c>
      <c r="R9" s="18" t="s">
        <v>59</v>
      </c>
    </row>
    <row r="10" spans="1:18" ht="17" x14ac:dyDescent="0.15">
      <c r="A10" s="1">
        <v>8</v>
      </c>
      <c r="B10" s="13"/>
      <c r="C10" s="11">
        <f t="shared" si="0"/>
        <v>5</v>
      </c>
      <c r="D10" s="1">
        <v>5</v>
      </c>
      <c r="E10" s="13"/>
      <c r="F10" s="13"/>
      <c r="G10" s="20"/>
      <c r="H10" s="13">
        <f t="shared" si="1"/>
        <v>0</v>
      </c>
      <c r="I10" s="13"/>
      <c r="J10" s="13"/>
      <c r="K10" s="20"/>
      <c r="L10" s="13">
        <f t="shared" si="2"/>
        <v>0</v>
      </c>
      <c r="M10" s="13"/>
      <c r="N10" s="13"/>
      <c r="O10" s="20"/>
      <c r="P10" s="13">
        <f t="shared" si="3"/>
        <v>0</v>
      </c>
      <c r="Q10" s="18"/>
      <c r="R10" s="18" t="s">
        <v>69</v>
      </c>
    </row>
    <row r="11" spans="1:18" ht="17" x14ac:dyDescent="0.15">
      <c r="A11" s="1">
        <v>9</v>
      </c>
      <c r="B11" s="13"/>
      <c r="C11" s="11">
        <f t="shared" si="0"/>
        <v>5</v>
      </c>
      <c r="D11" s="1">
        <v>5</v>
      </c>
      <c r="E11" s="13"/>
      <c r="F11" s="13"/>
      <c r="G11" s="20"/>
      <c r="H11" s="13">
        <f t="shared" si="1"/>
        <v>0</v>
      </c>
      <c r="I11" s="13"/>
      <c r="J11" s="13"/>
      <c r="K11" s="20"/>
      <c r="L11" s="13">
        <f t="shared" si="2"/>
        <v>0</v>
      </c>
      <c r="M11" s="13"/>
      <c r="N11" s="13"/>
      <c r="O11" s="20"/>
      <c r="P11" s="13">
        <f t="shared" si="3"/>
        <v>0</v>
      </c>
      <c r="Q11" s="18"/>
      <c r="R11" s="18" t="s">
        <v>70</v>
      </c>
    </row>
    <row r="12" spans="1:18" ht="17" x14ac:dyDescent="0.15">
      <c r="A12" s="1">
        <v>10</v>
      </c>
      <c r="B12" s="13"/>
      <c r="C12" s="11">
        <f t="shared" si="0"/>
        <v>5</v>
      </c>
      <c r="D12" s="1">
        <v>5</v>
      </c>
      <c r="E12" s="13"/>
      <c r="F12" s="13"/>
      <c r="G12" s="20"/>
      <c r="H12" s="13">
        <f t="shared" si="1"/>
        <v>0</v>
      </c>
      <c r="I12" s="13"/>
      <c r="J12" s="13"/>
      <c r="K12" s="20"/>
      <c r="L12" s="13">
        <f t="shared" si="2"/>
        <v>0</v>
      </c>
      <c r="M12" s="13"/>
      <c r="N12" s="13"/>
      <c r="O12" s="20"/>
      <c r="P12" s="13">
        <f t="shared" si="3"/>
        <v>0</v>
      </c>
      <c r="Q12" s="18"/>
      <c r="R12" s="18" t="s">
        <v>71</v>
      </c>
    </row>
    <row r="13" spans="1:18" ht="17" x14ac:dyDescent="0.15">
      <c r="A13" s="1">
        <v>11</v>
      </c>
      <c r="B13" s="13"/>
      <c r="C13" s="11">
        <f t="shared" si="0"/>
        <v>5</v>
      </c>
      <c r="D13" s="1">
        <v>5</v>
      </c>
      <c r="E13" s="13"/>
      <c r="F13" s="13"/>
      <c r="G13" s="20"/>
      <c r="H13" s="13">
        <f t="shared" si="1"/>
        <v>0</v>
      </c>
      <c r="I13" s="13"/>
      <c r="J13" s="13"/>
      <c r="K13" s="20"/>
      <c r="L13" s="13">
        <f t="shared" si="2"/>
        <v>0</v>
      </c>
      <c r="M13" s="13"/>
      <c r="N13" s="13"/>
      <c r="O13" s="20"/>
      <c r="P13" s="13">
        <f t="shared" si="3"/>
        <v>0</v>
      </c>
      <c r="Q13" s="18"/>
      <c r="R13" s="18"/>
    </row>
    <row r="14" spans="1:18" ht="17" x14ac:dyDescent="0.15">
      <c r="A14" s="1">
        <v>12</v>
      </c>
      <c r="B14" s="13"/>
      <c r="C14" s="11">
        <f t="shared" si="0"/>
        <v>5</v>
      </c>
      <c r="D14" s="1">
        <v>5</v>
      </c>
      <c r="E14" s="13"/>
      <c r="F14" s="13"/>
      <c r="G14" s="20"/>
      <c r="H14" s="13">
        <f t="shared" si="1"/>
        <v>0</v>
      </c>
      <c r="I14" s="13"/>
      <c r="J14" s="13"/>
      <c r="K14" s="20"/>
      <c r="L14" s="13">
        <f t="shared" si="2"/>
        <v>0</v>
      </c>
      <c r="M14" s="13"/>
      <c r="N14" s="13"/>
      <c r="O14" s="20"/>
      <c r="P14" s="13">
        <f t="shared" si="3"/>
        <v>0</v>
      </c>
      <c r="Q14" s="18"/>
      <c r="R14" s="18"/>
    </row>
    <row r="15" spans="1:18" ht="17" x14ac:dyDescent="0.15">
      <c r="A15" s="16"/>
      <c r="B15" s="1"/>
      <c r="F15" s="1"/>
      <c r="J15" s="1"/>
      <c r="N15" s="1"/>
    </row>
    <row r="16" spans="1:18" ht="17" x14ac:dyDescent="0.15">
      <c r="A16" s="16"/>
      <c r="B16" s="1"/>
    </row>
    <row r="17" spans="1:2" ht="17" x14ac:dyDescent="0.15">
      <c r="A17" s="16"/>
      <c r="B17" s="1"/>
    </row>
    <row r="18" spans="1:2" ht="17" x14ac:dyDescent="0.15">
      <c r="A18" s="16"/>
      <c r="B18" s="1"/>
    </row>
    <row r="19" spans="1:2" ht="17" x14ac:dyDescent="0.15">
      <c r="A19" s="16"/>
      <c r="B19" s="1"/>
    </row>
    <row r="20" spans="1:2" ht="15" x14ac:dyDescent="0.15">
      <c r="A20" s="16"/>
    </row>
    <row r="21" spans="1:2" ht="15" x14ac:dyDescent="0.15">
      <c r="A21" s="16"/>
      <c r="B21" s="16"/>
    </row>
    <row r="22" spans="1:2" ht="16" x14ac:dyDescent="0.15">
      <c r="A22" s="16"/>
      <c r="B22" s="17"/>
    </row>
  </sheetData>
  <mergeCells count="4">
    <mergeCell ref="G3:G14"/>
    <mergeCell ref="K3:K14"/>
    <mergeCell ref="O3:O14"/>
    <mergeCell ref="Q1:R2"/>
  </mergeCells>
  <phoneticPr fontId="1" type="noConversion"/>
  <dataValidations count="2">
    <dataValidation type="list" allowBlank="1" showInputMessage="1" showErrorMessage="1" sqref="F3:F14 J3:J14 N3:N14">
      <formula1>$R$3:$R$12</formula1>
    </dataValidation>
    <dataValidation type="list" allowBlank="1" showInputMessage="1" showErrorMessage="1" promptTitle="从下拉列表选择" prompt="请勿自行输入" sqref="G3:G14 K3:K14 O3:O14">
      <formula1>"好人胜利,狼人胜利"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 enableFormatConditionsCalculation="0"/>
  <dimension ref="A1:I28"/>
  <sheetViews>
    <sheetView zoomScale="90" zoomScaleNormal="90" zoomScalePageLayoutView="90" workbookViewId="0">
      <selection activeCell="E20" sqref="E20"/>
    </sheetView>
  </sheetViews>
  <sheetFormatPr baseColWidth="10" defaultColWidth="8.83203125" defaultRowHeight="17" x14ac:dyDescent="0.15"/>
  <cols>
    <col min="1" max="1" width="5.1640625" style="1" customWidth="1"/>
    <col min="2" max="2" width="12.5" style="1" customWidth="1"/>
    <col min="3" max="3" width="14" style="1" bestFit="1" customWidth="1"/>
    <col min="4" max="5" width="24.1640625" style="1" customWidth="1"/>
    <col min="6" max="6" width="29.83203125" style="1" bestFit="1" customWidth="1"/>
    <col min="7" max="7" width="30.6640625" style="1" customWidth="1"/>
    <col min="8" max="16384" width="8.83203125" style="1"/>
  </cols>
  <sheetData>
    <row r="1" spans="1:9" x14ac:dyDescent="0.15">
      <c r="A1" s="4" t="s">
        <v>19</v>
      </c>
    </row>
    <row r="2" spans="1:9" x14ac:dyDescent="0.15">
      <c r="A2" s="7" t="s">
        <v>1</v>
      </c>
      <c r="B2" s="7" t="s">
        <v>0</v>
      </c>
      <c r="C2" s="2" t="s">
        <v>4</v>
      </c>
      <c r="D2" s="2" t="s">
        <v>20</v>
      </c>
      <c r="E2" s="2"/>
      <c r="F2" s="1" t="s">
        <v>21</v>
      </c>
      <c r="G2" s="1" t="s">
        <v>27</v>
      </c>
      <c r="H2" s="8"/>
      <c r="I2" s="1" t="s">
        <v>14</v>
      </c>
    </row>
    <row r="3" spans="1:9" x14ac:dyDescent="0.15">
      <c r="A3" s="1">
        <v>1</v>
      </c>
      <c r="C3" s="1" t="s">
        <v>42</v>
      </c>
      <c r="D3" s="13"/>
      <c r="E3" s="13"/>
      <c r="F3" s="1" t="s">
        <v>22</v>
      </c>
      <c r="G3" s="1" t="s">
        <v>17</v>
      </c>
      <c r="H3" s="9"/>
      <c r="I3" s="1" t="s">
        <v>13</v>
      </c>
    </row>
    <row r="4" spans="1:9" x14ac:dyDescent="0.15">
      <c r="A4" s="1">
        <v>2</v>
      </c>
      <c r="C4" s="1" t="s">
        <v>49</v>
      </c>
      <c r="D4" s="13" t="s">
        <v>55</v>
      </c>
      <c r="E4" s="13"/>
      <c r="F4" s="1" t="s">
        <v>24</v>
      </c>
      <c r="G4" s="1" t="s">
        <v>28</v>
      </c>
      <c r="H4" s="10"/>
      <c r="I4" s="1" t="s">
        <v>16</v>
      </c>
    </row>
    <row r="5" spans="1:9" x14ac:dyDescent="0.15">
      <c r="A5" s="1">
        <v>3</v>
      </c>
      <c r="C5" s="1" t="s">
        <v>54</v>
      </c>
      <c r="D5" s="13"/>
      <c r="E5" s="13"/>
      <c r="F5" s="1" t="s">
        <v>25</v>
      </c>
      <c r="G5" s="1" t="s">
        <v>29</v>
      </c>
      <c r="H5" s="12"/>
      <c r="I5" s="1" t="s">
        <v>15</v>
      </c>
    </row>
    <row r="6" spans="1:9" x14ac:dyDescent="0.15">
      <c r="A6" s="1">
        <v>4</v>
      </c>
      <c r="C6" s="8" t="s">
        <v>53</v>
      </c>
      <c r="D6" s="13" t="s">
        <v>48</v>
      </c>
      <c r="E6" s="13"/>
      <c r="F6" s="1" t="s">
        <v>23</v>
      </c>
      <c r="G6" s="1" t="s">
        <v>30</v>
      </c>
    </row>
    <row r="7" spans="1:9" x14ac:dyDescent="0.15">
      <c r="A7" s="1">
        <v>5</v>
      </c>
      <c r="C7" s="8" t="s">
        <v>47</v>
      </c>
      <c r="D7" s="13"/>
      <c r="E7" s="13"/>
      <c r="F7" s="1" t="s">
        <v>10</v>
      </c>
      <c r="G7" s="1" t="s">
        <v>36</v>
      </c>
    </row>
    <row r="8" spans="1:9" x14ac:dyDescent="0.15">
      <c r="A8" s="1">
        <v>6</v>
      </c>
      <c r="C8" s="1" t="s">
        <v>38</v>
      </c>
      <c r="D8" s="13"/>
      <c r="E8" s="13"/>
      <c r="F8" s="15" t="s">
        <v>33</v>
      </c>
      <c r="G8" s="1" t="s">
        <v>31</v>
      </c>
    </row>
    <row r="9" spans="1:9" x14ac:dyDescent="0.15">
      <c r="A9" s="1">
        <v>7</v>
      </c>
      <c r="C9" s="1" t="s">
        <v>50</v>
      </c>
      <c r="D9" s="13"/>
      <c r="E9" s="13"/>
      <c r="F9" s="1" t="s">
        <v>12</v>
      </c>
      <c r="G9" s="1" t="s">
        <v>33</v>
      </c>
    </row>
    <row r="10" spans="1:9" x14ac:dyDescent="0.15">
      <c r="A10" s="1">
        <v>8</v>
      </c>
      <c r="C10" s="1" t="s">
        <v>50</v>
      </c>
      <c r="D10" s="13"/>
      <c r="E10" s="13"/>
      <c r="F10" s="1" t="s">
        <v>11</v>
      </c>
      <c r="G10" s="1" t="s">
        <v>12</v>
      </c>
    </row>
    <row r="11" spans="1:9" x14ac:dyDescent="0.15">
      <c r="A11" s="1">
        <v>9</v>
      </c>
      <c r="C11" s="8" t="s">
        <v>52</v>
      </c>
      <c r="D11" s="13"/>
      <c r="E11" s="13"/>
      <c r="F11" s="1" t="s">
        <v>41</v>
      </c>
      <c r="G11" s="1" t="s">
        <v>11</v>
      </c>
    </row>
    <row r="12" spans="1:9" x14ac:dyDescent="0.15">
      <c r="A12" s="1">
        <v>10</v>
      </c>
      <c r="C12" s="1" t="s">
        <v>46</v>
      </c>
      <c r="D12" s="13" t="s">
        <v>51</v>
      </c>
      <c r="E12" s="13"/>
      <c r="F12" s="1" t="s">
        <v>35</v>
      </c>
      <c r="G12" s="1" t="s">
        <v>32</v>
      </c>
    </row>
    <row r="13" spans="1:9" x14ac:dyDescent="0.15">
      <c r="A13" s="1">
        <v>11</v>
      </c>
      <c r="C13" s="13" t="s">
        <v>50</v>
      </c>
      <c r="D13" s="13"/>
      <c r="E13" s="13"/>
      <c r="F13" s="15" t="s">
        <v>26</v>
      </c>
      <c r="G13" s="14" t="s">
        <v>34</v>
      </c>
    </row>
    <row r="14" spans="1:9" x14ac:dyDescent="0.15">
      <c r="A14" s="1">
        <v>12</v>
      </c>
      <c r="C14" s="8" t="s">
        <v>42</v>
      </c>
      <c r="D14" s="13"/>
      <c r="E14" s="13"/>
      <c r="F14" s="14" t="s">
        <v>34</v>
      </c>
    </row>
    <row r="15" spans="1:9" x14ac:dyDescent="0.15">
      <c r="A15" s="1">
        <v>13</v>
      </c>
      <c r="C15" s="8" t="s">
        <v>50</v>
      </c>
      <c r="D15" s="13"/>
      <c r="E15" s="13"/>
      <c r="F15" s="15" t="s">
        <v>37</v>
      </c>
    </row>
    <row r="16" spans="1:9" x14ac:dyDescent="0.15">
      <c r="A16" s="1">
        <v>14</v>
      </c>
      <c r="C16" s="8" t="s">
        <v>43</v>
      </c>
      <c r="D16" s="13"/>
      <c r="E16" s="13"/>
    </row>
    <row r="17" spans="1:5" x14ac:dyDescent="0.15">
      <c r="A17" s="1">
        <v>15</v>
      </c>
      <c r="B17" s="13"/>
      <c r="C17" s="8" t="s">
        <v>44</v>
      </c>
      <c r="D17" s="13"/>
      <c r="E17" s="13"/>
    </row>
    <row r="18" spans="1:5" x14ac:dyDescent="0.15">
      <c r="A18" s="1">
        <v>16</v>
      </c>
      <c r="B18" s="13"/>
      <c r="C18" s="13" t="s">
        <v>50</v>
      </c>
      <c r="D18" s="13"/>
      <c r="E18" s="13"/>
    </row>
    <row r="19" spans="1:5" x14ac:dyDescent="0.15">
      <c r="A19" s="1">
        <v>17</v>
      </c>
      <c r="B19" s="13"/>
      <c r="C19" s="8" t="s">
        <v>45</v>
      </c>
      <c r="D19" s="13"/>
      <c r="E19" s="13"/>
    </row>
    <row r="20" spans="1:5" x14ac:dyDescent="0.15">
      <c r="A20" s="1">
        <v>18</v>
      </c>
      <c r="B20" s="13"/>
      <c r="C20" s="8" t="s">
        <v>39</v>
      </c>
      <c r="D20" s="13"/>
      <c r="E20" s="13"/>
    </row>
    <row r="21" spans="1:5" x14ac:dyDescent="0.15">
      <c r="A21" s="1">
        <v>19</v>
      </c>
      <c r="B21" s="13"/>
      <c r="C21" s="8" t="s">
        <v>40</v>
      </c>
      <c r="D21" s="13"/>
      <c r="E21" s="13"/>
    </row>
    <row r="22" spans="1:5" x14ac:dyDescent="0.15">
      <c r="A22" s="1">
        <v>20</v>
      </c>
      <c r="B22" s="13"/>
      <c r="C22" s="8" t="s">
        <v>42</v>
      </c>
      <c r="D22" s="13"/>
      <c r="E22" s="13"/>
    </row>
    <row r="23" spans="1:5" x14ac:dyDescent="0.15">
      <c r="A23" s="1">
        <v>21</v>
      </c>
      <c r="B23" s="13"/>
      <c r="C23" s="13"/>
      <c r="D23" s="13"/>
      <c r="E23" s="13"/>
    </row>
    <row r="24" spans="1:5" x14ac:dyDescent="0.15">
      <c r="A24" s="1">
        <v>22</v>
      </c>
      <c r="B24" s="13"/>
      <c r="C24" s="13"/>
      <c r="D24" s="13"/>
      <c r="E24" s="13"/>
    </row>
    <row r="25" spans="1:5" x14ac:dyDescent="0.15">
      <c r="A25" s="1">
        <v>23</v>
      </c>
      <c r="B25" s="13"/>
      <c r="C25" s="13"/>
      <c r="D25" s="13"/>
      <c r="E25" s="13"/>
    </row>
    <row r="26" spans="1:5" x14ac:dyDescent="0.15">
      <c r="A26" s="1">
        <v>24</v>
      </c>
      <c r="C26" s="13"/>
      <c r="D26" s="13"/>
      <c r="E26" s="13"/>
    </row>
    <row r="27" spans="1:5" x14ac:dyDescent="0.15">
      <c r="A27" s="1">
        <v>25</v>
      </c>
      <c r="C27" s="13"/>
      <c r="D27" s="13"/>
      <c r="E27" s="13"/>
    </row>
    <row r="28" spans="1:5" x14ac:dyDescent="0.15">
      <c r="C28" s="1" t="s">
        <v>18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new</vt:lpstr>
      <vt:lpstr>万圣节专场</vt:lpstr>
    </vt:vector>
  </TitlesOfParts>
  <Company>BaiDu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Zhang,Chunxiao(MSU)</dc:creator>
  <cp:lastModifiedBy>鞠林</cp:lastModifiedBy>
  <dcterms:created xsi:type="dcterms:W3CDTF">2016-10-21T07:57:08Z</dcterms:created>
  <dcterms:modified xsi:type="dcterms:W3CDTF">2017-03-24T05:01:36Z</dcterms:modified>
</cp:coreProperties>
</file>